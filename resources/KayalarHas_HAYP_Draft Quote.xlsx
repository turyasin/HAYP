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sin TÜR\Has KAyalar\"/>
    </mc:Choice>
  </mc:AlternateContent>
  <xr:revisionPtr revIDLastSave="0" documentId="13_ncr:1_{A5BBC570-ED7B-437D-8AA8-86A9A1BDB312}" xr6:coauthVersionLast="47" xr6:coauthVersionMax="47" xr10:uidLastSave="{00000000-0000-0000-0000-000000000000}"/>
  <bookViews>
    <workbookView xWindow="-110" yWindow="-110" windowWidth="25820" windowHeight="15500" xr2:uid="{2F5D456E-5A72-47C9-9D5D-341A387E6BF0}"/>
  </bookViews>
  <sheets>
    <sheet name="Teklif V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H25" i="2" s="1"/>
  <c r="G26" i="2"/>
  <c r="H26" i="2" s="1"/>
  <c r="G30" i="2"/>
  <c r="H30" i="2" s="1"/>
  <c r="G24" i="2"/>
  <c r="H24" i="2" s="1"/>
  <c r="D22" i="2"/>
  <c r="D23" i="2"/>
  <c r="D24" i="2"/>
  <c r="D25" i="2"/>
  <c r="E22" i="2"/>
  <c r="E23" i="2"/>
  <c r="E24" i="2"/>
  <c r="E25" i="2"/>
  <c r="D21" i="2"/>
  <c r="D26" i="2"/>
  <c r="D27" i="2"/>
  <c r="E21" i="2"/>
  <c r="E26" i="2"/>
  <c r="E27" i="2"/>
  <c r="D30" i="2"/>
  <c r="E30" i="2"/>
  <c r="E15" i="2"/>
  <c r="E16" i="2"/>
  <c r="E17" i="2"/>
  <c r="E18" i="2"/>
  <c r="E19" i="2"/>
  <c r="E20" i="2"/>
  <c r="E28" i="2"/>
  <c r="E29" i="2"/>
  <c r="D15" i="2"/>
  <c r="D16" i="2"/>
  <c r="D17" i="2"/>
  <c r="D18" i="2"/>
  <c r="D19" i="2"/>
  <c r="D20" i="2"/>
  <c r="D28" i="2"/>
  <c r="D29" i="2"/>
  <c r="G15" i="2"/>
  <c r="G23" i="2"/>
  <c r="H23" i="2" s="1"/>
  <c r="G22" i="2"/>
  <c r="H22" i="2" s="1"/>
  <c r="G21" i="2"/>
  <c r="H21" i="2" s="1"/>
  <c r="G18" i="2"/>
  <c r="H18" i="2" s="1"/>
  <c r="G28" i="2"/>
  <c r="H28" i="2" s="1"/>
  <c r="G20" i="2"/>
  <c r="H20" i="2" s="1"/>
  <c r="G29" i="2"/>
  <c r="H29" i="2" s="1"/>
  <c r="G19" i="2"/>
  <c r="H19" i="2" s="1"/>
  <c r="G27" i="2" l="1"/>
  <c r="H27" i="2" s="1"/>
  <c r="G17" i="2"/>
  <c r="H17" i="2" s="1"/>
  <c r="G16" i="2"/>
  <c r="H16" i="2" s="1"/>
  <c r="H15" i="2"/>
  <c r="H33" i="2" l="1"/>
  <c r="H34" i="2" l="1"/>
  <c r="H35" i="2" s="1"/>
</calcChain>
</file>

<file path=xl/sharedStrings.xml><?xml version="1.0" encoding="utf-8"?>
<sst xmlns="http://schemas.openxmlformats.org/spreadsheetml/2006/main" count="38" uniqueCount="37">
  <si>
    <t>Miktar</t>
  </si>
  <si>
    <t>Birim Fiyat</t>
  </si>
  <si>
    <t>SUZ-079</t>
  </si>
  <si>
    <t>TRA-140</t>
  </si>
  <si>
    <t>TRA-141</t>
  </si>
  <si>
    <t>BIC-003A</t>
  </si>
  <si>
    <t>Teklif Tarihi</t>
  </si>
  <si>
    <t>Teklif No</t>
  </si>
  <si>
    <t>Firma Adı</t>
  </si>
  <si>
    <t>Adresi</t>
  </si>
  <si>
    <t>İlgili Kişi</t>
  </si>
  <si>
    <t>Telefon</t>
  </si>
  <si>
    <t>Ürün Kodu</t>
  </si>
  <si>
    <t>Malzeme</t>
  </si>
  <si>
    <t>Toplam Fiyat</t>
  </si>
  <si>
    <t>PRG31386-01</t>
  </si>
  <si>
    <t>PRG38102-02</t>
  </si>
  <si>
    <t>PRG38051-04</t>
  </si>
  <si>
    <t>PRG38102-01</t>
  </si>
  <si>
    <t>PRG38024-01</t>
  </si>
  <si>
    <t>FİYATLARIMIZA KDV DAHİL DEĞİLDİR.</t>
  </si>
  <si>
    <t>DERYA KAYA</t>
  </si>
  <si>
    <t>TEKLİFİMİZ 7 GÜN GEÇERLİDİR</t>
  </si>
  <si>
    <t>304 KALİTE MALZEME</t>
  </si>
  <si>
    <t>YLM-TER15-01</t>
  </si>
  <si>
    <t>YLM-TER20-02</t>
  </si>
  <si>
    <t>YLM-KTEN30-01</t>
  </si>
  <si>
    <t>ABNT-ST18-3</t>
  </si>
  <si>
    <t>ABNT-ST24-3</t>
  </si>
  <si>
    <t>ABNT-SUZ45-1</t>
  </si>
  <si>
    <t>TOPLAM</t>
  </si>
  <si>
    <t>KDV %20</t>
  </si>
  <si>
    <t>GENEL TOPLAM</t>
  </si>
  <si>
    <t>Sıra</t>
  </si>
  <si>
    <t>KAYALAR HAS MUTFAK TEKLİF FORMU</t>
  </si>
  <si>
    <r>
      <rPr>
        <b/>
        <sz val="12"/>
        <color theme="1"/>
        <rFont val="Calibri"/>
        <family val="2"/>
      </rPr>
      <t>ADRES:</t>
    </r>
    <r>
      <rPr>
        <sz val="12"/>
        <color theme="1"/>
        <rFont val="Calibri"/>
        <family val="2"/>
      </rPr>
      <t xml:space="preserve"> Plevne Cad No:38/D Mamak/ANKARA
TEL: 0(533) 414 62 62</t>
    </r>
  </si>
  <si>
    <t>Ölçü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</si>
</sst>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₺-41F]* #,##0.00_-;\-[$₺-41F]* #,##0.00_-;_-[$₺-41F]* &quot;-&quot;??_-;_-@_-"/>
    <numFmt numFmtId="165" formatCode="@* &quot;:&quot;"/>
    <numFmt numFmtId="166" formatCode="#,##0\ &quot;TL&quot;"/>
    <numFmt numFmtId="167" formatCode="#,##0.00\ &quot;TL&quot;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name val="Arial Tur"/>
      <charset val="162"/>
    </font>
    <font>
      <b/>
      <sz val="12"/>
      <name val="Calibri"/>
      <family val="2"/>
    </font>
    <font>
      <b/>
      <i/>
      <sz val="12"/>
      <name val="Calibri"/>
      <family val="2"/>
    </font>
    <font>
      <sz val="12"/>
      <name val="Calibri"/>
      <family val="2"/>
    </font>
    <font>
      <b/>
      <i/>
      <sz val="11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166" fontId="9" fillId="0" borderId="0" xfId="1" applyNumberFormat="1" applyFont="1" applyAlignment="1">
      <alignment horizontal="center"/>
    </xf>
    <xf numFmtId="0" fontId="10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166" fontId="11" fillId="0" borderId="0" xfId="1" applyNumberFormat="1" applyFont="1" applyAlignment="1">
      <alignment horizontal="center"/>
    </xf>
    <xf numFmtId="166" fontId="11" fillId="0" borderId="0" xfId="1" applyNumberFormat="1" applyFont="1" applyAlignment="1">
      <alignment horizontal="right"/>
    </xf>
    <xf numFmtId="0" fontId="11" fillId="0" borderId="0" xfId="1" applyFont="1" applyAlignment="1">
      <alignment horizontal="center"/>
    </xf>
    <xf numFmtId="16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4" fillId="0" borderId="0" xfId="0" applyNumberFormat="1" applyFont="1" applyAlignment="1">
      <alignment horizontal="left"/>
    </xf>
    <xf numFmtId="0" fontId="2" fillId="0" borderId="10" xfId="0" applyFont="1" applyBorder="1"/>
    <xf numFmtId="0" fontId="2" fillId="0" borderId="7" xfId="0" applyFont="1" applyBorder="1"/>
    <xf numFmtId="0" fontId="2" fillId="0" borderId="13" xfId="0" applyFont="1" applyBorder="1"/>
    <xf numFmtId="166" fontId="7" fillId="0" borderId="0" xfId="1" applyNumberFormat="1" applyFont="1" applyAlignment="1">
      <alignment horizontal="left"/>
    </xf>
    <xf numFmtId="165" fontId="5" fillId="0" borderId="12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2" fillId="2" borderId="1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</cellXfs>
  <cellStyles count="2">
    <cellStyle name="Normal" xfId="0" builtinId="0"/>
    <cellStyle name="Normal_Kapı2004" xfId="1" xr:uid="{AFBD1B50-09B3-4F71-BF14-0E941FD50397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[$₺-41F]* #,##0.00_-;\-[$₺-41F]* #,##0.00_-;_-[$₺-41F]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#,##0.00\ &quot;TL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#,##0.00\ &quot;TL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wrapText="0" indent="0" justifyLastLine="0" shrinkToFit="0" readingOrder="0"/>
    </dxf>
    <dxf>
      <border>
        <top style="medium">
          <color auto="1"/>
        </top>
        <bottom style="medium">
          <color auto="1"/>
        </bottom>
      </border>
    </dxf>
    <dxf>
      <border>
        <right style="thin">
          <color auto="1"/>
        </right>
      </border>
    </dxf>
    <dxf>
      <border>
        <right style="thin">
          <color auto="1"/>
        </right>
        <vertical/>
      </border>
    </dxf>
    <dxf>
      <border>
        <left style="thin">
          <color auto="1"/>
        </left>
      </border>
    </dxf>
    <dxf>
      <font>
        <b/>
        <i val="0"/>
      </font>
      <border>
        <top style="thin">
          <color auto="1"/>
        </top>
      </border>
    </dxf>
    <dxf>
      <fill>
        <patternFill>
          <bgColor theme="0" tint="-0.14996795556505021"/>
        </patternFill>
      </fill>
      <border>
        <bottom style="thin">
          <color auto="1"/>
        </bottom>
      </border>
    </dxf>
    <dxf>
      <border>
        <bottom style="thin">
          <color auto="1"/>
        </bottom>
        <horizontal style="thin">
          <color auto="1"/>
        </horizontal>
      </border>
    </dxf>
  </dxfs>
  <tableStyles count="1" defaultTableStyle="TableStyleMedium2" defaultPivotStyle="PivotStyleLight16">
    <tableStyle name="Table Style 3" pivot="0" count="7" xr9:uid="{E10BD75C-CB90-4A6C-B4C9-4D4A2B874C6D}">
      <tableStyleElement type="wholeTable" dxfId="23"/>
      <tableStyleElement type="headerRow" dxfId="22"/>
      <tableStyleElement type="totalRow" dxfId="21"/>
      <tableStyleElement type="lastColumn" dxfId="20"/>
      <tableStyleElement type="firstColumnStripe" dxfId="19"/>
      <tableStyleElement type="secondColumnStripe" dxfId="18"/>
      <tableStyleElement type="lastTotalCell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9293</xdr:colOff>
      <xdr:row>6</xdr:row>
      <xdr:rowOff>3970</xdr:rowOff>
    </xdr:from>
    <xdr:to>
      <xdr:col>7</xdr:col>
      <xdr:colOff>1043878</xdr:colOff>
      <xdr:row>10</xdr:row>
      <xdr:rowOff>6351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6FE3531-D9FA-43E3-8219-98C84803C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3659" y="196019"/>
          <a:ext cx="3459975" cy="787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C0F071-54B2-4940-A458-DA6495B602E2}" name="Table2" displayName="Table2" ref="B14:H30" headerRowDxfId="16" dataDxfId="15" totalsRowDxfId="14">
  <autoFilter ref="B14:H30" xr:uid="{9AC0F071-54B2-4940-A458-DA6495B602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E64CC31-0CA1-478E-BABD-77FCF16B35AA}" name="Sıra" totalsRowLabel="Total" dataDxfId="13" totalsRowDxfId="12"/>
    <tableColumn id="2" xr3:uid="{6F79E983-A6A1-4A6D-A6A2-B5175B92659B}" name="Ürün Kodu" totalsRowFunction="max" dataDxfId="11" totalsRowDxfId="10"/>
    <tableColumn id="3" xr3:uid="{F9493FEC-A2D6-49FF-8431-91A9AE545E2C}" name="Malzeme" dataDxfId="9" totalsRowDxfId="8">
      <calculatedColumnFormula>_xlfn.XLOOKUP(C15,#REF!,#REF!)</calculatedColumnFormula>
    </tableColumn>
    <tableColumn id="4" xr3:uid="{FDE96331-4AA3-4AA6-BF82-0C8F65DA8179}" name="Ölçü" dataDxfId="7" totalsRowDxfId="6">
      <calculatedColumnFormula>VLOOKUP(C15,#REF!,3,FALSE)</calculatedColumnFormula>
    </tableColumn>
    <tableColumn id="5" xr3:uid="{2D9BFB21-66B0-4A72-9F31-303D7854E757}" name="Miktar" dataDxfId="5" totalsRowDxfId="4"/>
    <tableColumn id="6" xr3:uid="{719E54E3-A528-475A-A8F1-E64DA41C1B90}" name="Birim Fiyat" dataDxfId="3" totalsRowDxfId="2">
      <calculatedColumnFormula>VLOOKUP(C15,#REF!,5,FALSE)</calculatedColumnFormula>
    </tableColumn>
    <tableColumn id="7" xr3:uid="{1B4513F7-F7AF-4036-8926-AB3CAF46DA93}" name="Toplam Fiyat" totalsRowFunction="sum" dataDxfId="1" totalsRowDxfId="0">
      <calculatedColumnFormula>F15*G15</calculatedColumnFormula>
    </tableColumn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8F5E-BC5F-4E79-8FC6-987AA8613ACE}">
  <sheetPr>
    <pageSetUpPr fitToPage="1"/>
  </sheetPr>
  <dimension ref="B1:H43"/>
  <sheetViews>
    <sheetView tabSelected="1" zoomScaleNormal="100" workbookViewId="0">
      <selection activeCell="L17" sqref="L17"/>
    </sheetView>
  </sheetViews>
  <sheetFormatPr defaultRowHeight="14.5" x14ac:dyDescent="0.35"/>
  <cols>
    <col min="1" max="1" width="2.6328125" style="1" customWidth="1"/>
    <col min="2" max="2" width="7.1796875" style="1" customWidth="1"/>
    <col min="3" max="3" width="14.26953125" style="1" customWidth="1"/>
    <col min="4" max="4" width="61.81640625" style="1" customWidth="1"/>
    <col min="5" max="5" width="13.90625" style="3" customWidth="1"/>
    <col min="6" max="6" width="6.1796875" style="3" customWidth="1"/>
    <col min="7" max="7" width="14.6328125" style="13" customWidth="1"/>
    <col min="8" max="8" width="15" style="13" customWidth="1"/>
    <col min="9" max="16384" width="8.7265625" style="1"/>
  </cols>
  <sheetData>
    <row r="1" spans="2:8" ht="15" thickBot="1" x14ac:dyDescent="0.4"/>
    <row r="2" spans="2:8" s="17" customFormat="1" ht="20" customHeight="1" x14ac:dyDescent="0.35">
      <c r="B2" s="40" t="s">
        <v>34</v>
      </c>
      <c r="C2" s="41"/>
      <c r="D2" s="41"/>
      <c r="E2" s="41"/>
      <c r="F2" s="41"/>
      <c r="G2" s="41"/>
      <c r="H2" s="42"/>
    </row>
    <row r="3" spans="2:8" s="17" customFormat="1" ht="20" customHeight="1" x14ac:dyDescent="0.35">
      <c r="B3" s="43" t="s">
        <v>7</v>
      </c>
      <c r="C3" s="43"/>
      <c r="D3" s="44"/>
      <c r="E3" s="45"/>
      <c r="F3" s="45"/>
      <c r="G3" s="45"/>
      <c r="H3" s="46"/>
    </row>
    <row r="4" spans="2:8" s="17" customFormat="1" ht="20" customHeight="1" x14ac:dyDescent="0.35">
      <c r="B4" s="43" t="s">
        <v>6</v>
      </c>
      <c r="C4" s="43"/>
      <c r="D4" s="44"/>
      <c r="E4" s="45"/>
      <c r="F4" s="45"/>
      <c r="G4" s="45"/>
      <c r="H4" s="46"/>
    </row>
    <row r="5" spans="2:8" x14ac:dyDescent="0.35">
      <c r="B5" s="3"/>
      <c r="C5" s="3"/>
      <c r="D5" s="3"/>
      <c r="G5" s="3"/>
      <c r="H5" s="3"/>
    </row>
    <row r="7" spans="2:8" ht="15.5" x14ac:dyDescent="0.35">
      <c r="B7" s="49" t="s">
        <v>8</v>
      </c>
      <c r="C7" s="50"/>
      <c r="D7" s="19"/>
      <c r="E7" s="31"/>
      <c r="F7" s="32"/>
      <c r="G7" s="32"/>
      <c r="H7" s="33"/>
    </row>
    <row r="8" spans="2:8" ht="15.5" x14ac:dyDescent="0.35">
      <c r="B8" s="47"/>
      <c r="C8" s="48"/>
      <c r="D8" s="20"/>
      <c r="E8" s="34"/>
      <c r="F8" s="35"/>
      <c r="G8" s="35"/>
      <c r="H8" s="36"/>
    </row>
    <row r="9" spans="2:8" ht="15.5" x14ac:dyDescent="0.35">
      <c r="B9" s="47" t="s">
        <v>9</v>
      </c>
      <c r="C9" s="48"/>
      <c r="D9" s="20"/>
      <c r="E9" s="34"/>
      <c r="F9" s="35"/>
      <c r="G9" s="35"/>
      <c r="H9" s="36"/>
    </row>
    <row r="10" spans="2:8" ht="15" thickBot="1" x14ac:dyDescent="0.4">
      <c r="B10" s="34"/>
      <c r="C10" s="35"/>
      <c r="D10" s="20"/>
      <c r="E10" s="37"/>
      <c r="F10" s="38"/>
      <c r="G10" s="38"/>
      <c r="H10" s="39"/>
    </row>
    <row r="11" spans="2:8" ht="15.5" x14ac:dyDescent="0.35">
      <c r="B11" s="47" t="s">
        <v>10</v>
      </c>
      <c r="C11" s="48"/>
      <c r="D11" s="20"/>
      <c r="E11" s="25" t="s">
        <v>35</v>
      </c>
      <c r="F11" s="26"/>
      <c r="G11" s="26"/>
      <c r="H11" s="27"/>
    </row>
    <row r="12" spans="2:8" ht="15.5" x14ac:dyDescent="0.35">
      <c r="B12" s="23" t="s">
        <v>11</v>
      </c>
      <c r="C12" s="24"/>
      <c r="D12" s="21"/>
      <c r="E12" s="28"/>
      <c r="F12" s="29"/>
      <c r="G12" s="29"/>
      <c r="H12" s="30"/>
    </row>
    <row r="13" spans="2:8" ht="46.5" customHeight="1" x14ac:dyDescent="0.35"/>
    <row r="14" spans="2:8" s="17" customFormat="1" ht="15.5" x14ac:dyDescent="0.35">
      <c r="B14" s="2" t="s">
        <v>33</v>
      </c>
      <c r="C14" s="15" t="s">
        <v>12</v>
      </c>
      <c r="D14" s="15" t="s">
        <v>13</v>
      </c>
      <c r="E14" s="2" t="s">
        <v>36</v>
      </c>
      <c r="F14" s="2" t="s">
        <v>0</v>
      </c>
      <c r="G14" s="16" t="s">
        <v>1</v>
      </c>
      <c r="H14" s="16" t="s">
        <v>14</v>
      </c>
    </row>
    <row r="15" spans="2:8" x14ac:dyDescent="0.35">
      <c r="B15" s="3">
        <v>1</v>
      </c>
      <c r="C15" s="1" t="s">
        <v>18</v>
      </c>
      <c r="D15" s="1" t="e">
        <f>_xlfn.XLOOKUP(C15,#REF!,#REF!)</f>
        <v>#REF!</v>
      </c>
      <c r="E15" s="3" t="e">
        <f>VLOOKUP(C15,#REF!,3,FALSE)</f>
        <v>#REF!</v>
      </c>
      <c r="F15" s="3">
        <v>2</v>
      </c>
      <c r="G15" s="14" t="e">
        <f>VLOOKUP(C15,#REF!,5,FALSE)</f>
        <v>#REF!</v>
      </c>
      <c r="H15" s="14" t="e">
        <f>F15*G15</f>
        <v>#REF!</v>
      </c>
    </row>
    <row r="16" spans="2:8" x14ac:dyDescent="0.35">
      <c r="B16" s="3">
        <v>2</v>
      </c>
      <c r="C16" s="1" t="s">
        <v>4</v>
      </c>
      <c r="D16" s="1" t="e">
        <f>_xlfn.XLOOKUP(C16,#REF!,#REF!)</f>
        <v>#REF!</v>
      </c>
      <c r="E16" s="3" t="e">
        <f>VLOOKUP(C16,#REF!,3,FALSE)</f>
        <v>#REF!</v>
      </c>
      <c r="F16" s="3">
        <v>17</v>
      </c>
      <c r="G16" s="14" t="e">
        <f>VLOOKUP(C16,#REF!,5,FALSE)</f>
        <v>#REF!</v>
      </c>
      <c r="H16" s="14" t="e">
        <f t="shared" ref="H16:H30" si="0">F16*G16</f>
        <v>#REF!</v>
      </c>
    </row>
    <row r="17" spans="2:8" x14ac:dyDescent="0.35">
      <c r="B17" s="3">
        <v>3</v>
      </c>
      <c r="C17" s="1" t="s">
        <v>18</v>
      </c>
      <c r="D17" s="1" t="e">
        <f>_xlfn.XLOOKUP(C17,#REF!,#REF!)</f>
        <v>#REF!</v>
      </c>
      <c r="E17" s="3" t="e">
        <f>VLOOKUP(C17,#REF!,3,FALSE)</f>
        <v>#REF!</v>
      </c>
      <c r="F17" s="3">
        <v>36</v>
      </c>
      <c r="G17" s="14" t="e">
        <f>VLOOKUP(C17,#REF!,5,FALSE)</f>
        <v>#REF!</v>
      </c>
      <c r="H17" s="14" t="e">
        <f t="shared" si="0"/>
        <v>#REF!</v>
      </c>
    </row>
    <row r="18" spans="2:8" x14ac:dyDescent="0.35">
      <c r="B18" s="3">
        <v>4</v>
      </c>
      <c r="C18" s="1" t="s">
        <v>16</v>
      </c>
      <c r="D18" s="1" t="e">
        <f>_xlfn.XLOOKUP(C18,#REF!,#REF!)</f>
        <v>#REF!</v>
      </c>
      <c r="E18" s="3" t="e">
        <f>VLOOKUP(C18,#REF!,3,FALSE)</f>
        <v>#REF!</v>
      </c>
      <c r="F18" s="3">
        <v>36</v>
      </c>
      <c r="G18" s="14" t="e">
        <f>VLOOKUP(C18,#REF!,5,FALSE)</f>
        <v>#REF!</v>
      </c>
      <c r="H18" s="14" t="e">
        <f t="shared" si="0"/>
        <v>#REF!</v>
      </c>
    </row>
    <row r="19" spans="2:8" x14ac:dyDescent="0.35">
      <c r="B19" s="3">
        <v>5</v>
      </c>
      <c r="C19" s="1" t="s">
        <v>5</v>
      </c>
      <c r="D19" s="1" t="e">
        <f>_xlfn.XLOOKUP(C19,#REF!,#REF!)</f>
        <v>#REF!</v>
      </c>
      <c r="E19" s="3" t="e">
        <f>VLOOKUP(C19,#REF!,3,FALSE)</f>
        <v>#REF!</v>
      </c>
      <c r="F19" s="3">
        <v>36</v>
      </c>
      <c r="G19" s="14" t="e">
        <f>VLOOKUP(C19,#REF!,5,FALSE)</f>
        <v>#REF!</v>
      </c>
      <c r="H19" s="14" t="e">
        <f t="shared" si="0"/>
        <v>#REF!</v>
      </c>
    </row>
    <row r="20" spans="2:8" x14ac:dyDescent="0.35">
      <c r="B20" s="3">
        <v>6</v>
      </c>
      <c r="C20" s="1" t="s">
        <v>15</v>
      </c>
      <c r="D20" s="1" t="e">
        <f>_xlfn.XLOOKUP(C20,#REF!,#REF!)</f>
        <v>#REF!</v>
      </c>
      <c r="E20" s="3" t="e">
        <f>VLOOKUP(C20,#REF!,3,FALSE)</f>
        <v>#REF!</v>
      </c>
      <c r="F20" s="3">
        <v>12</v>
      </c>
      <c r="G20" s="14" t="e">
        <f>VLOOKUP(C20,#REF!,5,FALSE)</f>
        <v>#REF!</v>
      </c>
      <c r="H20" s="14" t="e">
        <f t="shared" si="0"/>
        <v>#REF!</v>
      </c>
    </row>
    <row r="21" spans="2:8" x14ac:dyDescent="0.35">
      <c r="B21" s="3">
        <v>7</v>
      </c>
      <c r="C21" s="1" t="s">
        <v>27</v>
      </c>
      <c r="D21" s="1" t="e">
        <f>_xlfn.XLOOKUP(C21,#REF!,#REF!)</f>
        <v>#REF!</v>
      </c>
      <c r="E21" s="3" t="e">
        <f>VLOOKUP(C21,#REF!,3,FALSE)</f>
        <v>#REF!</v>
      </c>
      <c r="F21" s="3">
        <v>4</v>
      </c>
      <c r="G21" s="14" t="e">
        <f>VLOOKUP(C21,#REF!,5,FALSE)</f>
        <v>#REF!</v>
      </c>
      <c r="H21" s="14" t="e">
        <f t="shared" si="0"/>
        <v>#REF!</v>
      </c>
    </row>
    <row r="22" spans="2:8" x14ac:dyDescent="0.35">
      <c r="B22" s="3">
        <v>8</v>
      </c>
      <c r="C22" s="1" t="s">
        <v>25</v>
      </c>
      <c r="D22" s="1" t="e">
        <f>_xlfn.XLOOKUP(C22,#REF!,#REF!)</f>
        <v>#REF!</v>
      </c>
      <c r="E22" s="3" t="e">
        <f>VLOOKUP(C22,#REF!,3,FALSE)</f>
        <v>#REF!</v>
      </c>
      <c r="F22" s="3">
        <v>2</v>
      </c>
      <c r="G22" s="14" t="e">
        <f>VLOOKUP(C22,#REF!,5,FALSE)</f>
        <v>#REF!</v>
      </c>
      <c r="H22" s="14" t="e">
        <f t="shared" si="0"/>
        <v>#REF!</v>
      </c>
    </row>
    <row r="23" spans="2:8" x14ac:dyDescent="0.35">
      <c r="B23" s="3">
        <v>9</v>
      </c>
      <c r="C23" s="1" t="s">
        <v>19</v>
      </c>
      <c r="D23" s="1" t="e">
        <f>_xlfn.XLOOKUP(C23,#REF!,#REF!)</f>
        <v>#REF!</v>
      </c>
      <c r="E23" s="3" t="e">
        <f>VLOOKUP(C23,#REF!,3,FALSE)</f>
        <v>#REF!</v>
      </c>
      <c r="F23" s="3">
        <v>16</v>
      </c>
      <c r="G23" s="14" t="e">
        <f>VLOOKUP(C23,#REF!,5,FALSE)</f>
        <v>#REF!</v>
      </c>
      <c r="H23" s="14" t="e">
        <f t="shared" si="0"/>
        <v>#REF!</v>
      </c>
    </row>
    <row r="24" spans="2:8" x14ac:dyDescent="0.35">
      <c r="B24" s="3">
        <v>10</v>
      </c>
      <c r="C24" s="1" t="s">
        <v>24</v>
      </c>
      <c r="D24" s="1" t="e">
        <f>_xlfn.XLOOKUP(C24,#REF!,#REF!)</f>
        <v>#REF!</v>
      </c>
      <c r="E24" s="3" t="e">
        <f>VLOOKUP(C24,#REF!,3,FALSE)</f>
        <v>#REF!</v>
      </c>
      <c r="F24" s="3">
        <v>5</v>
      </c>
      <c r="G24" s="14" t="e">
        <f>VLOOKUP(C24,#REF!,5,FALSE)</f>
        <v>#REF!</v>
      </c>
      <c r="H24" s="14" t="e">
        <f t="shared" si="0"/>
        <v>#REF!</v>
      </c>
    </row>
    <row r="25" spans="2:8" x14ac:dyDescent="0.35">
      <c r="B25" s="3">
        <v>11</v>
      </c>
      <c r="C25" s="1" t="s">
        <v>28</v>
      </c>
      <c r="D25" s="1" t="e">
        <f>_xlfn.XLOOKUP(C25,#REF!,#REF!)</f>
        <v>#REF!</v>
      </c>
      <c r="E25" s="3" t="e">
        <f>VLOOKUP(C25,#REF!,3,FALSE)</f>
        <v>#REF!</v>
      </c>
      <c r="F25" s="3">
        <v>3</v>
      </c>
      <c r="G25" s="14" t="e">
        <f>VLOOKUP(C25,#REF!,5,FALSE)</f>
        <v>#REF!</v>
      </c>
      <c r="H25" s="14" t="e">
        <f t="shared" si="0"/>
        <v>#REF!</v>
      </c>
    </row>
    <row r="26" spans="2:8" x14ac:dyDescent="0.35">
      <c r="B26" s="3">
        <v>12</v>
      </c>
      <c r="C26" s="1" t="s">
        <v>29</v>
      </c>
      <c r="D26" s="1" t="e">
        <f>_xlfn.XLOOKUP(C26,#REF!,#REF!)</f>
        <v>#REF!</v>
      </c>
      <c r="E26" s="3" t="e">
        <f>VLOOKUP(C26,#REF!,3,FALSE)</f>
        <v>#REF!</v>
      </c>
      <c r="F26" s="3">
        <v>7</v>
      </c>
      <c r="G26" s="14" t="e">
        <f>VLOOKUP(C26,#REF!,5,FALSE)</f>
        <v>#REF!</v>
      </c>
      <c r="H26" s="14" t="e">
        <f t="shared" si="0"/>
        <v>#REF!</v>
      </c>
    </row>
    <row r="27" spans="2:8" x14ac:dyDescent="0.35">
      <c r="B27" s="3">
        <v>13</v>
      </c>
      <c r="C27" s="1" t="s">
        <v>2</v>
      </c>
      <c r="D27" s="1" t="e">
        <f>_xlfn.XLOOKUP(C27,#REF!,#REF!)</f>
        <v>#REF!</v>
      </c>
      <c r="E27" s="3" t="e">
        <f>VLOOKUP(C27,#REF!,3,FALSE)</f>
        <v>#REF!</v>
      </c>
      <c r="F27" s="3">
        <v>3</v>
      </c>
      <c r="G27" s="14" t="e">
        <f>VLOOKUP(C27,#REF!,5,FALSE)</f>
        <v>#REF!</v>
      </c>
      <c r="H27" s="14" t="e">
        <f t="shared" si="0"/>
        <v>#REF!</v>
      </c>
    </row>
    <row r="28" spans="2:8" x14ac:dyDescent="0.35">
      <c r="B28" s="3">
        <v>14</v>
      </c>
      <c r="C28" s="1" t="s">
        <v>17</v>
      </c>
      <c r="D28" s="1" t="e">
        <f>_xlfn.XLOOKUP(C28,#REF!,#REF!)</f>
        <v>#REF!</v>
      </c>
      <c r="E28" s="3" t="e">
        <f>VLOOKUP(C28,#REF!,3,FALSE)</f>
        <v>#REF!</v>
      </c>
      <c r="F28" s="3">
        <v>5</v>
      </c>
      <c r="G28" s="14" t="e">
        <f>VLOOKUP(C28,#REF!,5,FALSE)</f>
        <v>#REF!</v>
      </c>
      <c r="H28" s="14" t="e">
        <f t="shared" si="0"/>
        <v>#REF!</v>
      </c>
    </row>
    <row r="29" spans="2:8" x14ac:dyDescent="0.35">
      <c r="B29" s="3">
        <v>15</v>
      </c>
      <c r="C29" s="1" t="s">
        <v>3</v>
      </c>
      <c r="D29" s="1" t="e">
        <f>_xlfn.XLOOKUP(C29,#REF!,#REF!)</f>
        <v>#REF!</v>
      </c>
      <c r="E29" s="3" t="e">
        <f>VLOOKUP(C29,#REF!,3,FALSE)</f>
        <v>#REF!</v>
      </c>
      <c r="F29" s="3">
        <v>3</v>
      </c>
      <c r="G29" s="14" t="e">
        <f>VLOOKUP(C29,#REF!,5,FALSE)</f>
        <v>#REF!</v>
      </c>
      <c r="H29" s="14" t="e">
        <f t="shared" si="0"/>
        <v>#REF!</v>
      </c>
    </row>
    <row r="30" spans="2:8" x14ac:dyDescent="0.35">
      <c r="B30" s="3">
        <v>16</v>
      </c>
      <c r="C30" s="1" t="s">
        <v>26</v>
      </c>
      <c r="D30" s="1" t="e">
        <f>_xlfn.XLOOKUP(C30,#REF!,#REF!)</f>
        <v>#REF!</v>
      </c>
      <c r="E30" s="3" t="e">
        <f>VLOOKUP(C30,#REF!,3,FALSE)</f>
        <v>#REF!</v>
      </c>
      <c r="F30" s="3">
        <v>7</v>
      </c>
      <c r="G30" s="14" t="e">
        <f>VLOOKUP(C30,#REF!,5,FALSE)</f>
        <v>#REF!</v>
      </c>
      <c r="H30" s="14" t="e">
        <f t="shared" si="0"/>
        <v>#REF!</v>
      </c>
    </row>
    <row r="33" spans="2:8" x14ac:dyDescent="0.35">
      <c r="G33" s="18" t="s">
        <v>30</v>
      </c>
      <c r="H33" s="14" t="e">
        <f>SUM(Table2[Toplam Fiyat])</f>
        <v>#REF!</v>
      </c>
    </row>
    <row r="34" spans="2:8" x14ac:dyDescent="0.35">
      <c r="G34" s="18" t="s">
        <v>31</v>
      </c>
      <c r="H34" s="14" t="e">
        <f>H33*0.2</f>
        <v>#REF!</v>
      </c>
    </row>
    <row r="35" spans="2:8" x14ac:dyDescent="0.35">
      <c r="G35" s="18" t="s">
        <v>32</v>
      </c>
      <c r="H35" s="14" t="e">
        <f>SUM(H33:H34)</f>
        <v>#REF!</v>
      </c>
    </row>
    <row r="40" spans="2:8" ht="15.5" x14ac:dyDescent="0.35">
      <c r="B40" s="4" t="s">
        <v>20</v>
      </c>
      <c r="C40" s="5"/>
      <c r="D40" s="6"/>
      <c r="E40" s="7"/>
      <c r="F40" s="1"/>
      <c r="G40" s="22" t="s">
        <v>21</v>
      </c>
    </row>
    <row r="41" spans="2:8" ht="15.5" x14ac:dyDescent="0.35">
      <c r="B41" s="4" t="s">
        <v>23</v>
      </c>
      <c r="C41" s="8"/>
      <c r="D41" s="9"/>
      <c r="E41" s="10"/>
      <c r="F41" s="11"/>
    </row>
    <row r="42" spans="2:8" ht="15.5" x14ac:dyDescent="0.35">
      <c r="B42" s="4" t="s">
        <v>22</v>
      </c>
      <c r="C42" s="8"/>
      <c r="D42" s="9"/>
      <c r="E42" s="10"/>
      <c r="F42" s="11"/>
    </row>
    <row r="43" spans="2:8" ht="15.5" x14ac:dyDescent="0.35">
      <c r="B43" s="4"/>
      <c r="C43" s="12"/>
      <c r="D43" s="12"/>
      <c r="E43" s="10"/>
      <c r="F43" s="11"/>
    </row>
  </sheetData>
  <mergeCells count="13">
    <mergeCell ref="B12:C12"/>
    <mergeCell ref="E11:H12"/>
    <mergeCell ref="E7:H10"/>
    <mergeCell ref="B2:H2"/>
    <mergeCell ref="B3:C3"/>
    <mergeCell ref="B4:C4"/>
    <mergeCell ref="D3:H3"/>
    <mergeCell ref="D4:H4"/>
    <mergeCell ref="B9:C9"/>
    <mergeCell ref="B10:C10"/>
    <mergeCell ref="B7:C7"/>
    <mergeCell ref="B8:C8"/>
    <mergeCell ref="B11:C11"/>
  </mergeCells>
  <phoneticPr fontId="3" type="noConversion"/>
  <pageMargins left="0.25" right="0.25" top="0.5" bottom="0.5" header="0.3" footer="0.3"/>
  <pageSetup paperSize="9" scale="67" fitToHeight="0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988F4C-58EF-446D-992D-23517682C903}">
          <x14:formula1>
            <xm:f>#REF!</xm:f>
          </x14:formula1>
          <xm:sqref>C15:C30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 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Tür</dc:creator>
  <cp:lastModifiedBy>Yasin Tür</cp:lastModifiedBy>
  <cp:lastPrinted>2024-12-14T19:10:47Z</cp:lastPrinted>
  <dcterms:created xsi:type="dcterms:W3CDTF">2024-12-14T09:57:29Z</dcterms:created>
  <dcterms:modified xsi:type="dcterms:W3CDTF">2025-12-16T11:40:03Z</dcterms:modified>
</cp:coreProperties>
</file>